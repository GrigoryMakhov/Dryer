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Учеба\магистратура\РПО\123901_MakhovGrigory\App\Baraban\TestProjectDemo\"/>
    </mc:Choice>
  </mc:AlternateContent>
  <xr:revisionPtr revIDLastSave="0" documentId="13_ncr:1_{4AD0E56E-9866-46F4-A955-804CF44F9D18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Расчёт" sheetId="1" r:id="rId1"/>
    <sheet name="Мазут" sheetId="2" r:id="rId2"/>
    <sheet name="Пар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7" i="1" l="1"/>
  <c r="F44" i="1"/>
  <c r="J26" i="1" s="1"/>
  <c r="B33" i="1"/>
  <c r="F37" i="1"/>
  <c r="B17" i="1"/>
  <c r="J28" i="1" l="1"/>
  <c r="K66" i="3" l="1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65" i="3"/>
  <c r="B26" i="1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65" i="3"/>
  <c r="B38" i="1"/>
  <c r="C33" i="1" s="1"/>
  <c r="B28" i="1" s="1"/>
  <c r="B37" i="1"/>
  <c r="B36" i="1"/>
  <c r="B35" i="1"/>
  <c r="B34" i="1"/>
  <c r="E12" i="3"/>
  <c r="P13" i="3"/>
  <c r="P14" i="3"/>
  <c r="P15" i="3"/>
  <c r="P16" i="3"/>
  <c r="P17" i="3"/>
  <c r="P18" i="3"/>
  <c r="P19" i="3"/>
  <c r="P20" i="3"/>
  <c r="P21" i="3"/>
  <c r="P12" i="3"/>
  <c r="L21" i="3"/>
  <c r="O21" i="3" s="1"/>
  <c r="P2" i="3"/>
  <c r="P3" i="3"/>
  <c r="P4" i="3"/>
  <c r="P5" i="3"/>
  <c r="P6" i="3"/>
  <c r="P7" i="3"/>
  <c r="P8" i="3"/>
  <c r="P9" i="3"/>
  <c r="P10" i="3"/>
  <c r="P11" i="3"/>
  <c r="P1" i="3"/>
  <c r="L11" i="3"/>
  <c r="O11" i="3" s="1"/>
  <c r="L1" i="3"/>
  <c r="O1" i="3" s="1"/>
  <c r="I6" i="3"/>
  <c r="I18" i="3"/>
  <c r="I15" i="3"/>
  <c r="I16" i="3"/>
  <c r="I17" i="3"/>
  <c r="I14" i="3"/>
  <c r="I9" i="3"/>
  <c r="I10" i="3"/>
  <c r="I11" i="3"/>
  <c r="I12" i="3"/>
  <c r="I8" i="3"/>
  <c r="K1" i="3" l="1"/>
  <c r="L2" i="3" s="1"/>
  <c r="K11" i="3"/>
  <c r="L12" i="3" s="1"/>
  <c r="I2" i="3"/>
  <c r="I3" i="3"/>
  <c r="I4" i="3"/>
  <c r="I5" i="3"/>
  <c r="I1" i="3"/>
  <c r="E1" i="3"/>
  <c r="E3" i="3"/>
  <c r="E4" i="3"/>
  <c r="E5" i="3"/>
  <c r="E6" i="3"/>
  <c r="E7" i="3"/>
  <c r="E8" i="3"/>
  <c r="E9" i="3"/>
  <c r="E10" i="3"/>
  <c r="E11" i="3"/>
  <c r="E2" i="3"/>
  <c r="O12" i="3" l="1"/>
  <c r="L13" i="3"/>
  <c r="O2" i="3"/>
  <c r="L3" i="3"/>
  <c r="B42" i="1"/>
  <c r="B41" i="1"/>
  <c r="B40" i="1"/>
  <c r="O3" i="3" l="1"/>
  <c r="L4" i="3"/>
  <c r="O13" i="3"/>
  <c r="L14" i="3"/>
  <c r="F14" i="1"/>
  <c r="F39" i="1"/>
  <c r="O14" i="3" l="1"/>
  <c r="L15" i="3"/>
  <c r="O4" i="3"/>
  <c r="L5" i="3"/>
  <c r="F45" i="1"/>
  <c r="B27" i="1"/>
  <c r="F33" i="1"/>
  <c r="F23" i="1"/>
  <c r="O5" i="3" l="1"/>
  <c r="L6" i="3"/>
  <c r="O15" i="3"/>
  <c r="L16" i="3"/>
  <c r="F12" i="1"/>
  <c r="F11" i="1"/>
  <c r="D26" i="2"/>
  <c r="D27" i="2"/>
  <c r="D28" i="2"/>
  <c r="D29" i="2"/>
  <c r="D30" i="2"/>
  <c r="D25" i="2"/>
  <c r="D3" i="2"/>
  <c r="D4" i="2"/>
  <c r="D5" i="2"/>
  <c r="D6" i="2"/>
  <c r="D7" i="2"/>
  <c r="D8" i="2"/>
  <c r="D9" i="2"/>
  <c r="D10" i="2"/>
  <c r="D11" i="2"/>
  <c r="D2" i="2"/>
  <c r="F15" i="1"/>
  <c r="F34" i="1" s="1"/>
  <c r="F32" i="1" s="1"/>
  <c r="F35" i="1" s="1"/>
  <c r="F30" i="1" s="1"/>
  <c r="F38" i="1"/>
  <c r="O16" i="3" l="1"/>
  <c r="L17" i="3"/>
  <c r="O6" i="3"/>
  <c r="L7" i="3"/>
  <c r="J30" i="1"/>
  <c r="F36" i="1"/>
  <c r="F25" i="1"/>
  <c r="G42" i="1" s="1"/>
  <c r="F10" i="1"/>
  <c r="F5" i="1"/>
  <c r="F1" i="1"/>
  <c r="O7" i="3" l="1"/>
  <c r="L8" i="3"/>
  <c r="O17" i="3"/>
  <c r="L18" i="3"/>
  <c r="F46" i="1"/>
  <c r="B45" i="1"/>
  <c r="B43" i="1"/>
  <c r="B44" i="1" s="1"/>
  <c r="F4" i="1" s="1"/>
  <c r="F2" i="1"/>
  <c r="F3" i="1" s="1"/>
  <c r="F29" i="1"/>
  <c r="J29" i="1" s="1"/>
  <c r="F27" i="1"/>
  <c r="J27" i="1" s="1"/>
  <c r="J25" i="1"/>
  <c r="K29" i="1" l="1"/>
  <c r="O18" i="3"/>
  <c r="L19" i="3"/>
  <c r="O8" i="3"/>
  <c r="L9" i="3"/>
  <c r="F6" i="1"/>
  <c r="F7" i="1"/>
  <c r="F9" i="1" s="1"/>
  <c r="F13" i="1" s="1"/>
  <c r="F26" i="1" s="1"/>
  <c r="F42" i="1" s="1"/>
  <c r="K27" i="1"/>
  <c r="K28" i="1"/>
  <c r="F8" i="1" l="1"/>
  <c r="O9" i="3"/>
  <c r="L10" i="3"/>
  <c r="O10" i="3" s="1"/>
  <c r="O19" i="3"/>
  <c r="L20" i="3"/>
  <c r="O20" i="3" s="1"/>
  <c r="K26" i="1"/>
  <c r="F43" i="1"/>
  <c r="K30" i="1"/>
  <c r="K25" i="1"/>
  <c r="F48" i="1" s="1"/>
</calcChain>
</file>

<file path=xl/sharedStrings.xml><?xml version="1.0" encoding="utf-8"?>
<sst xmlns="http://schemas.openxmlformats.org/spreadsheetml/2006/main" count="160" uniqueCount="108">
  <si>
    <t>кг/ч</t>
  </si>
  <si>
    <t>%</t>
  </si>
  <si>
    <t>C</t>
  </si>
  <si>
    <t>м3/кг</t>
  </si>
  <si>
    <t>св</t>
  </si>
  <si>
    <t>cг</t>
  </si>
  <si>
    <t>i1</t>
  </si>
  <si>
    <t>м3/м3</t>
  </si>
  <si>
    <t>кДж/кг</t>
  </si>
  <si>
    <t>кДж/м3</t>
  </si>
  <si>
    <t>С</t>
  </si>
  <si>
    <t>кВт</t>
  </si>
  <si>
    <t>t</t>
  </si>
  <si>
    <t>i</t>
  </si>
  <si>
    <t xml:space="preserve"> </t>
  </si>
  <si>
    <t>Q1</t>
  </si>
  <si>
    <t>Q2</t>
  </si>
  <si>
    <t>Q3</t>
  </si>
  <si>
    <t>Q5топ</t>
  </si>
  <si>
    <t>Вт/(м2*К)</t>
  </si>
  <si>
    <t>Q5т</t>
  </si>
  <si>
    <t>кДж/(кг*К)</t>
  </si>
  <si>
    <t>кг/c</t>
  </si>
  <si>
    <t>%Cр</t>
  </si>
  <si>
    <t>%Hp</t>
  </si>
  <si>
    <t>%Sр</t>
  </si>
  <si>
    <t>%Ор</t>
  </si>
  <si>
    <t>%Nр</t>
  </si>
  <si>
    <t>%Ар</t>
  </si>
  <si>
    <t>%Wр</t>
  </si>
  <si>
    <t>Максимальная температура газов t1</t>
  </si>
  <si>
    <t>Минимальная температура газов t2</t>
  </si>
  <si>
    <t>Расход кислорода на горение VO2</t>
  </si>
  <si>
    <t>Теоретический расход воздуха L0</t>
  </si>
  <si>
    <r>
      <t>Действительный расход сухого воздуха L</t>
    </r>
    <r>
      <rPr>
        <sz val="11"/>
        <color theme="1"/>
        <rFont val="Calibri"/>
        <family val="2"/>
        <charset val="204"/>
      </rPr>
      <t>α</t>
    </r>
  </si>
  <si>
    <t>Выход продуктов горения Vα1</t>
  </si>
  <si>
    <t>Теплота сгорания мазута Qнр</t>
  </si>
  <si>
    <t>Содержание воздуха в продуктах сгорания VL</t>
  </si>
  <si>
    <t>Балансовая энтальпия продуктов горения iбобщ</t>
  </si>
  <si>
    <t>Балансовая температура продуктов горения tαб</t>
  </si>
  <si>
    <t>Средняя по массе начальная температура материала tм1</t>
  </si>
  <si>
    <t>Удельная теплоёмкость сухого материала см</t>
  </si>
  <si>
    <t>Удельная теплоёмкость влаги свл</t>
  </si>
  <si>
    <t>Энтальпия водяного пара при 100 iп100</t>
  </si>
  <si>
    <t>Начальная энтальпия воды i1вл</t>
  </si>
  <si>
    <t>Энтальпия факела iф</t>
  </si>
  <si>
    <t>Энтальпия воздуха iв</t>
  </si>
  <si>
    <t>Температура воздуха tв</t>
  </si>
  <si>
    <t>Температура газов tг</t>
  </si>
  <si>
    <t>Энтальпия продуктов сгорания i1</t>
  </si>
  <si>
    <t>Энтальпия дымовых газов i2</t>
  </si>
  <si>
    <t>Количество воздуха хв</t>
  </si>
  <si>
    <t>м</t>
  </si>
  <si>
    <t>Типоразмер печи</t>
  </si>
  <si>
    <t>Диаметр D</t>
  </si>
  <si>
    <t>Длина L</t>
  </si>
  <si>
    <t>Поверхность барабана Fб</t>
  </si>
  <si>
    <t>м2</t>
  </si>
  <si>
    <t>Расход теплоты на прогревание просушиваемых материалов и испарение влаги Q1</t>
  </si>
  <si>
    <t>Потери теплоты с механическим недожогом Q4</t>
  </si>
  <si>
    <t>Средняя температура металлической стенки барабана tcт</t>
  </si>
  <si>
    <t>Температура стенки в начале барабана tcт.нач</t>
  </si>
  <si>
    <t>Температура стенки в конце барабана tст.кон</t>
  </si>
  <si>
    <t>Коэффициент теплоотдачи от поверхности стенки к окрущающей среде αв</t>
  </si>
  <si>
    <t>Тепловой баланс</t>
  </si>
  <si>
    <t>Расход мазута B</t>
  </si>
  <si>
    <t>Влажность в % от неизменяющейся сухой массы материала в начале сушки W1c</t>
  </si>
  <si>
    <t>Влажность в % от неизменяющейся сухой массы материала в конце сушки W2c</t>
  </si>
  <si>
    <t>Тепловая мощность печи Qx</t>
  </si>
  <si>
    <t>Расход теплоты на 1 кг испаренной влаги qисп</t>
  </si>
  <si>
    <t>Коэффициент полезного действия печи</t>
  </si>
  <si>
    <t>кВт*кг/c</t>
  </si>
  <si>
    <t>Q4</t>
  </si>
  <si>
    <t>Потери теплоты вследствие теплопроводности стенок рабочего пространства Q5т</t>
  </si>
  <si>
    <t xml:space="preserve">Объёмное отношение кислорода к азоту в воздухе k </t>
  </si>
  <si>
    <t>V0CO2</t>
  </si>
  <si>
    <t>V0SO2</t>
  </si>
  <si>
    <t>V0H2O</t>
  </si>
  <si>
    <t>V0N2</t>
  </si>
  <si>
    <t>VаN2</t>
  </si>
  <si>
    <t>VO2изб</t>
  </si>
  <si>
    <t>Производительность Gм</t>
  </si>
  <si>
    <t>cв</t>
  </si>
  <si>
    <t>До 200</t>
  </si>
  <si>
    <t>сг</t>
  </si>
  <si>
    <t>Расчёт теплоёмкости пара</t>
  </si>
  <si>
    <t>Теплоёмкость пара сп</t>
  </si>
  <si>
    <t>Начальная влажность материала Wнач</t>
  </si>
  <si>
    <t>Конечная влажность материала Wкон</t>
  </si>
  <si>
    <t>Коэффициент расхода воздуха α</t>
  </si>
  <si>
    <t>Производительность по испарённой влаге Gвл</t>
  </si>
  <si>
    <t>кг/с</t>
  </si>
  <si>
    <t>Процент химического недожога</t>
  </si>
  <si>
    <t>Коэффициент сохранения тепла η</t>
  </si>
  <si>
    <t xml:space="preserve">Расчёт выхода продуктов горения </t>
  </si>
  <si>
    <t>Потери теплоты с отходящими газами Q2 * B</t>
  </si>
  <si>
    <t>Потери теплоты топкой Q5топ * B</t>
  </si>
  <si>
    <t>Потери теплоты с химическим недожогом Q3 * B</t>
  </si>
  <si>
    <t>Энтальпия воздуха при t2 и VL=100% i2в</t>
  </si>
  <si>
    <t>Средняя по массе температура материала в конце сушки tм2</t>
  </si>
  <si>
    <t>Удельная теплоёмкость газов cг</t>
  </si>
  <si>
    <t>Удельная теплоёмкость воздуха св</t>
  </si>
  <si>
    <t>200&lt;=x&lt;300</t>
  </si>
  <si>
    <t>300&lt;=x&lt;360</t>
  </si>
  <si>
    <t>360&lt;=x&lt;=400</t>
  </si>
  <si>
    <t>400&lt;x&lt;440</t>
  </si>
  <si>
    <t>440&lt;=x&lt;=450</t>
  </si>
  <si>
    <t>450&lt;x&lt;=460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</si>
</sst>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5" fillId="2" borderId="2" applyNumberFormat="0" applyAlignment="0" applyProtection="0"/>
    <xf numFmtId="0" fontId="6" fillId="2" borderId="1" applyNumberFormat="0" applyAlignment="0" applyProtection="0"/>
    <xf numFmtId="0" fontId="4" fillId="3" borderId="3" applyNumberFormat="0" applyFont="0" applyAlignment="0" applyProtection="0"/>
    <xf numFmtId="0" fontId="7" fillId="0" borderId="0" applyNumberFormat="0" applyFill="0" applyBorder="0" applyAlignment="0" applyProtection="0"/>
  </cellStyleXfs>
  <cellXfs count="35">
    <xf numFmtId="0" fontId="0" fillId="0" borderId="0" xfId="0"/>
    <xf numFmtId="164" fontId="0" fillId="0" borderId="0" xfId="0" applyNumberFormat="1"/>
    <xf numFmtId="0" fontId="0" fillId="0" borderId="0" xfId="0" applyAlignment="1">
      <alignment horizontal="right"/>
    </xf>
    <xf numFmtId="49" fontId="0" fillId="0" borderId="0" xfId="0" applyNumberFormat="1"/>
    <xf numFmtId="0" fontId="3" fillId="0" borderId="0" xfId="0" applyFont="1"/>
    <xf numFmtId="0" fontId="5" fillId="2" borderId="2" xfId="1" applyAlignment="1">
      <alignment horizontal="right"/>
    </xf>
    <xf numFmtId="0" fontId="5" fillId="2" borderId="2" xfId="1"/>
    <xf numFmtId="164" fontId="5" fillId="2" borderId="2" xfId="1" applyNumberFormat="1"/>
    <xf numFmtId="0" fontId="7" fillId="0" borderId="0" xfId="4" applyAlignment="1">
      <alignment horizontal="right"/>
    </xf>
    <xf numFmtId="0" fontId="7" fillId="0" borderId="0" xfId="4"/>
    <xf numFmtId="164" fontId="7" fillId="0" borderId="0" xfId="4" applyNumberFormat="1"/>
    <xf numFmtId="0" fontId="0" fillId="3" borderId="3" xfId="3" applyFont="1" applyAlignment="1">
      <alignment horizontal="right"/>
    </xf>
    <xf numFmtId="0" fontId="0" fillId="3" borderId="3" xfId="3" applyFont="1"/>
    <xf numFmtId="164" fontId="0" fillId="3" borderId="3" xfId="3" applyNumberFormat="1" applyFont="1"/>
    <xf numFmtId="164" fontId="6" fillId="2" borderId="1" xfId="2" applyNumberFormat="1"/>
    <xf numFmtId="0" fontId="6" fillId="2" borderId="1" xfId="2"/>
    <xf numFmtId="0" fontId="6" fillId="2" borderId="1" xfId="2" applyAlignment="1">
      <alignment horizontal="right"/>
    </xf>
    <xf numFmtId="0" fontId="5" fillId="2" borderId="2" xfId="1" applyAlignment="1">
      <alignment horizontal="right" vertical="center"/>
    </xf>
    <xf numFmtId="0" fontId="5" fillId="4" borderId="2" xfId="1" applyFill="1" applyAlignment="1">
      <alignment horizontal="right"/>
    </xf>
    <xf numFmtId="164" fontId="5" fillId="4" borderId="2" xfId="1" applyNumberFormat="1" applyFill="1"/>
    <xf numFmtId="0" fontId="5" fillId="4" borderId="2" xfId="1" applyFill="1"/>
    <xf numFmtId="164" fontId="5" fillId="5" borderId="2" xfId="1" applyNumberFormat="1" applyFill="1"/>
    <xf numFmtId="0" fontId="5" fillId="5" borderId="2" xfId="1" applyFill="1"/>
    <xf numFmtId="0" fontId="5" fillId="6" borderId="2" xfId="1" applyFill="1" applyAlignment="1">
      <alignment horizontal="right"/>
    </xf>
    <xf numFmtId="164" fontId="5" fillId="6" borderId="2" xfId="1" applyNumberFormat="1" applyFill="1"/>
    <xf numFmtId="0" fontId="5" fillId="6" borderId="2" xfId="1" applyFill="1"/>
    <xf numFmtId="0" fontId="5" fillId="7" borderId="2" xfId="1" applyFill="1"/>
    <xf numFmtId="164" fontId="5" fillId="7" borderId="2" xfId="1" applyNumberFormat="1" applyFill="1"/>
    <xf numFmtId="0" fontId="5" fillId="8" borderId="2" xfId="1" applyFill="1" applyAlignment="1">
      <alignment horizontal="right"/>
    </xf>
    <xf numFmtId="164" fontId="5" fillId="8" borderId="2" xfId="1" applyNumberFormat="1" applyFill="1"/>
    <xf numFmtId="0" fontId="5" fillId="8" borderId="2" xfId="1" applyFill="1"/>
    <xf numFmtId="0" fontId="3" fillId="0" borderId="0" xfId="0" applyFont="1" applyAlignment="1">
      <alignment horizontal="right"/>
    </xf>
    <xf numFmtId="164" fontId="3" fillId="0" borderId="0" xfId="0" applyNumberFormat="1" applyFont="1"/>
    <xf numFmtId="0" fontId="5" fillId="7" borderId="2" xfId="1" applyFill="1" applyAlignment="1">
      <alignment horizontal="right"/>
    </xf>
    <xf numFmtId="0" fontId="5" fillId="7" borderId="2" xfId="1" applyNumberFormat="1" applyFill="1"/>
  </cellXfs>
  <cellStyles count="5">
    <cellStyle name="Вывод" xfId="1" builtinId="21"/>
    <cellStyle name="Вычисление" xfId="2" builtinId="22"/>
    <cellStyle name="Обычный" xfId="0" builtinId="0"/>
    <cellStyle name="Пояснение" xfId="4" builtinId="53"/>
    <cellStyle name="Примечание" xfId="3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Диаграмма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Расчёт!$I$25:$I$30</c:f>
              <c:strCache>
                <c:ptCount val="6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  <c:pt idx="4">
                  <c:v>Q5топ</c:v>
                </c:pt>
                <c:pt idx="5">
                  <c:v>Q5т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 i="0" baseline="0"/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Расчёт!$I$25:$I$30</c:f>
              <c:strCache>
                <c:ptCount val="6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  <c:pt idx="4">
                  <c:v>Q5топ</c:v>
                </c:pt>
                <c:pt idx="5">
                  <c:v>Q5т</c:v>
                </c:pt>
              </c:strCache>
            </c:strRef>
          </c:cat>
          <c:val>
            <c:numRef>
              <c:f>Расчёт!$K$25:$K$30</c:f>
              <c:numCache>
                <c:formatCode>0.000</c:formatCode>
                <c:ptCount val="6"/>
                <c:pt idx="0">
                  <c:v>41.750329567006403</c:v>
                </c:pt>
                <c:pt idx="1">
                  <c:v>43.008816702482051</c:v>
                </c:pt>
                <c:pt idx="2">
                  <c:v>2</c:v>
                </c:pt>
                <c:pt idx="3">
                  <c:v>0</c:v>
                </c:pt>
                <c:pt idx="4">
                  <c:v>9.9999999999999982</c:v>
                </c:pt>
                <c:pt idx="5">
                  <c:v>3.2408537305115503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7D-4C2A-8EE0-90E0B997AEAF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og"/>
            <c:dispRSqr val="1"/>
            <c:dispEq val="1"/>
            <c:trendlineLbl>
              <c:layout>
                <c:manualLayout>
                  <c:x val="0.33040432328193842"/>
                  <c:y val="-3.2008811398575178E-2"/>
                </c:manualLayout>
              </c:layout>
              <c:numFmt formatCode="General" sourceLinked="0"/>
            </c:trendlineLbl>
          </c:trendline>
          <c:xVal>
            <c:numRef>
              <c:f>Мазут!$A$2:$A$11</c:f>
              <c:numCache>
                <c:formatCode>General</c:formatCode>
                <c:ptCount val="10"/>
                <c:pt idx="0">
                  <c:v>2200</c:v>
                </c:pt>
                <c:pt idx="1">
                  <c:v>2400</c:v>
                </c:pt>
                <c:pt idx="2">
                  <c:v>2500</c:v>
                </c:pt>
                <c:pt idx="3">
                  <c:v>2800</c:v>
                </c:pt>
                <c:pt idx="4">
                  <c:v>3000</c:v>
                </c:pt>
                <c:pt idx="5">
                  <c:v>3200</c:v>
                </c:pt>
                <c:pt idx="6">
                  <c:v>3620</c:v>
                </c:pt>
                <c:pt idx="7">
                  <c:v>3900</c:v>
                </c:pt>
                <c:pt idx="8">
                  <c:v>4200</c:v>
                </c:pt>
                <c:pt idx="9">
                  <c:v>4600</c:v>
                </c:pt>
              </c:numCache>
            </c:numRef>
          </c:xVal>
          <c:yVal>
            <c:numRef>
              <c:f>Мазут!$B$2:$B$11</c:f>
              <c:numCache>
                <c:formatCode>General</c:formatCode>
                <c:ptCount val="10"/>
                <c:pt idx="0">
                  <c:v>1375</c:v>
                </c:pt>
                <c:pt idx="1">
                  <c:v>1500</c:v>
                </c:pt>
                <c:pt idx="2">
                  <c:v>1610</c:v>
                </c:pt>
                <c:pt idx="3">
                  <c:v>1725</c:v>
                </c:pt>
                <c:pt idx="4">
                  <c:v>1825</c:v>
                </c:pt>
                <c:pt idx="5">
                  <c:v>1910</c:v>
                </c:pt>
                <c:pt idx="6">
                  <c:v>2100</c:v>
                </c:pt>
                <c:pt idx="7">
                  <c:v>2200</c:v>
                </c:pt>
                <c:pt idx="8">
                  <c:v>2300</c:v>
                </c:pt>
                <c:pt idx="9">
                  <c:v>2400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F7-4A81-B17D-5D466ECE3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028928"/>
        <c:axId val="95690752"/>
      </c:scatterChart>
      <c:valAx>
        <c:axId val="96028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5690752"/>
        <c:crosses val="autoZero"/>
        <c:crossBetween val="midCat"/>
      </c:valAx>
      <c:valAx>
        <c:axId val="95690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60289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36667475940507438"/>
                  <c:y val="6.4340186643336253E-2"/>
                </c:manualLayout>
              </c:layout>
              <c:numFmt formatCode="General" sourceLinked="0"/>
            </c:trendlineLbl>
          </c:trendline>
          <c:xVal>
            <c:numRef>
              <c:f>Мазут!$B$25:$B$30</c:f>
              <c:numCache>
                <c:formatCode>General</c:formatCode>
                <c:ptCount val="6"/>
                <c:pt idx="0">
                  <c:v>600</c:v>
                </c:pt>
                <c:pt idx="1">
                  <c:v>700</c:v>
                </c:pt>
                <c:pt idx="2">
                  <c:v>800</c:v>
                </c:pt>
                <c:pt idx="3">
                  <c:v>900</c:v>
                </c:pt>
                <c:pt idx="4">
                  <c:v>1000</c:v>
                </c:pt>
                <c:pt idx="5">
                  <c:v>1100</c:v>
                </c:pt>
              </c:numCache>
            </c:numRef>
          </c:xVal>
          <c:yVal>
            <c:numRef>
              <c:f>Мазут!$A$25:$A$30</c:f>
              <c:numCache>
                <c:formatCode>General</c:formatCode>
                <c:ptCount val="6"/>
                <c:pt idx="0">
                  <c:v>900</c:v>
                </c:pt>
                <c:pt idx="1">
                  <c:v>1050</c:v>
                </c:pt>
                <c:pt idx="2">
                  <c:v>1220</c:v>
                </c:pt>
                <c:pt idx="3">
                  <c:v>1370</c:v>
                </c:pt>
                <c:pt idx="4">
                  <c:v>1550</c:v>
                </c:pt>
                <c:pt idx="5">
                  <c:v>1700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35-49C0-BC53-AFE32F3063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510912"/>
        <c:axId val="95512448"/>
      </c:scatterChart>
      <c:valAx>
        <c:axId val="95510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5512448"/>
        <c:crosses val="autoZero"/>
        <c:crossBetween val="midCat"/>
      </c:valAx>
      <c:valAx>
        <c:axId val="95512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55109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18</xdr:row>
          <xdr:rowOff>0</xdr:rowOff>
        </xdr:from>
        <xdr:to>
          <xdr:col>5</xdr:col>
          <xdr:colOff>190500</xdr:colOff>
          <xdr:row>18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198120</xdr:colOff>
          <xdr:row>18</xdr:row>
          <xdr:rowOff>0</xdr:rowOff>
        </xdr:from>
        <xdr:to>
          <xdr:col>5</xdr:col>
          <xdr:colOff>381000</xdr:colOff>
          <xdr:row>18</xdr:row>
          <xdr:rowOff>182880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388620</xdr:colOff>
          <xdr:row>18</xdr:row>
          <xdr:rowOff>0</xdr:rowOff>
        </xdr:from>
        <xdr:to>
          <xdr:col>5</xdr:col>
          <xdr:colOff>571500</xdr:colOff>
          <xdr:row>18</xdr:row>
          <xdr:rowOff>182880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594360</xdr:colOff>
          <xdr:row>18</xdr:row>
          <xdr:rowOff>0</xdr:rowOff>
        </xdr:from>
        <xdr:to>
          <xdr:col>6</xdr:col>
          <xdr:colOff>0</xdr:colOff>
          <xdr:row>18</xdr:row>
          <xdr:rowOff>182880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40</xdr:row>
          <xdr:rowOff>0</xdr:rowOff>
        </xdr:from>
        <xdr:to>
          <xdr:col>6</xdr:col>
          <xdr:colOff>647700</xdr:colOff>
          <xdr:row>40</xdr:row>
          <xdr:rowOff>182880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Расчёт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16808</xdr:colOff>
      <xdr:row>31</xdr:row>
      <xdr:rowOff>1</xdr:rowOff>
    </xdr:from>
    <xdr:to>
      <xdr:col>14</xdr:col>
      <xdr:colOff>100853</xdr:colOff>
      <xdr:row>47</xdr:row>
      <xdr:rowOff>179295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1</xdr:row>
          <xdr:rowOff>60960</xdr:rowOff>
        </xdr:from>
        <xdr:to>
          <xdr:col>3</xdr:col>
          <xdr:colOff>556260</xdr:colOff>
          <xdr:row>2</xdr:row>
          <xdr:rowOff>83820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Глина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0</xdr:row>
          <xdr:rowOff>7620</xdr:rowOff>
        </xdr:from>
        <xdr:to>
          <xdr:col>3</xdr:col>
          <xdr:colOff>556260</xdr:colOff>
          <xdr:row>1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Песок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604837</xdr:colOff>
      <xdr:row>1</xdr:row>
      <xdr:rowOff>0</xdr:rowOff>
    </xdr:from>
    <xdr:to>
      <xdr:col>15</xdr:col>
      <xdr:colOff>238125</xdr:colOff>
      <xdr:row>17</xdr:row>
      <xdr:rowOff>152400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80962</xdr:colOff>
      <xdr:row>19</xdr:row>
      <xdr:rowOff>95250</xdr:rowOff>
    </xdr:from>
    <xdr:to>
      <xdr:col>12</xdr:col>
      <xdr:colOff>385762</xdr:colOff>
      <xdr:row>33</xdr:row>
      <xdr:rowOff>171450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N48"/>
  <sheetViews>
    <sheetView tabSelected="1" topLeftCell="A10" zoomScale="70" zoomScaleNormal="70" workbookViewId="0">
      <selection activeCell="F48" sqref="F48"/>
    </sheetView>
  </sheetViews>
  <sheetFormatPr defaultRowHeight="14.4" x14ac:dyDescent="0.3"/>
  <cols>
    <col min="1" max="1" width="55.44140625" bestFit="1" customWidth="1"/>
    <col min="2" max="2" width="9.88671875" bestFit="1" customWidth="1"/>
    <col min="3" max="3" width="11.109375" customWidth="1"/>
    <col min="4" max="4" width="8.44140625" customWidth="1"/>
    <col min="5" max="5" width="80.44140625" bestFit="1" customWidth="1"/>
    <col min="6" max="6" width="11" bestFit="1" customWidth="1"/>
    <col min="7" max="7" width="10" customWidth="1"/>
    <col min="8" max="8" width="7.44140625" customWidth="1"/>
    <col min="9" max="9" width="7" bestFit="1" customWidth="1"/>
    <col min="10" max="10" width="9.88671875" bestFit="1" customWidth="1"/>
    <col min="11" max="11" width="7.5546875" bestFit="1" customWidth="1"/>
    <col min="12" max="12" width="2.88671875" bestFit="1" customWidth="1"/>
    <col min="13" max="13" width="9.5546875" bestFit="1" customWidth="1"/>
    <col min="14" max="14" width="11.88671875" customWidth="1"/>
    <col min="16" max="16" width="9.5546875" bestFit="1" customWidth="1"/>
  </cols>
  <sheetData>
    <row r="1" spans="1:7" x14ac:dyDescent="0.3">
      <c r="A1" s="17" t="s">
        <v>87</v>
      </c>
      <c r="B1" s="7">
        <v>10</v>
      </c>
      <c r="C1" s="6" t="s">
        <v>1</v>
      </c>
      <c r="E1" s="11" t="s">
        <v>32</v>
      </c>
      <c r="F1" s="13">
        <f>0.01*(1.867*B3+5.6*B4+0.7*(B5-B6))</f>
        <v>2.2027219999999996</v>
      </c>
      <c r="G1" s="12" t="s">
        <v>3</v>
      </c>
    </row>
    <row r="2" spans="1:7" x14ac:dyDescent="0.3">
      <c r="A2" s="17" t="s">
        <v>88</v>
      </c>
      <c r="B2" s="7">
        <v>0.5</v>
      </c>
      <c r="C2" s="6" t="s">
        <v>1</v>
      </c>
      <c r="E2" s="11" t="s">
        <v>33</v>
      </c>
      <c r="F2" s="13">
        <f>(1+B20) * F1</f>
        <v>10.484956719999998</v>
      </c>
      <c r="G2" s="12" t="s">
        <v>3</v>
      </c>
    </row>
    <row r="3" spans="1:7" x14ac:dyDescent="0.3">
      <c r="A3" s="17" t="s">
        <v>23</v>
      </c>
      <c r="B3" s="7">
        <v>86.6</v>
      </c>
      <c r="C3" s="6" t="s">
        <v>1</v>
      </c>
      <c r="E3" s="11" t="s">
        <v>34</v>
      </c>
      <c r="F3" s="13">
        <f>B12*F2</f>
        <v>12.581948063999997</v>
      </c>
      <c r="G3" s="12" t="s">
        <v>3</v>
      </c>
    </row>
    <row r="4" spans="1:7" x14ac:dyDescent="0.3">
      <c r="A4" s="17" t="s">
        <v>24</v>
      </c>
      <c r="B4" s="7">
        <v>10.4</v>
      </c>
      <c r="C4" s="6" t="s">
        <v>1</v>
      </c>
      <c r="E4" s="11" t="s">
        <v>35</v>
      </c>
      <c r="F4" s="13">
        <f>B40+B41+B42+B44+B45</f>
        <v>13.181900063999997</v>
      </c>
      <c r="G4" s="12" t="s">
        <v>3</v>
      </c>
    </row>
    <row r="5" spans="1:7" x14ac:dyDescent="0.3">
      <c r="A5" s="17" t="s">
        <v>25</v>
      </c>
      <c r="B5" s="7">
        <v>0.9</v>
      </c>
      <c r="C5" s="6" t="s">
        <v>1</v>
      </c>
      <c r="E5" s="11" t="s">
        <v>36</v>
      </c>
      <c r="F5" s="13">
        <f>340*B3 + 1030 * B4 - 109 * (B6 - B5) - 25 * B9</f>
        <v>40190.5</v>
      </c>
      <c r="G5" s="12" t="s">
        <v>8</v>
      </c>
    </row>
    <row r="6" spans="1:7" x14ac:dyDescent="0.3">
      <c r="A6" s="17" t="s">
        <v>26</v>
      </c>
      <c r="B6" s="7">
        <v>0.4</v>
      </c>
      <c r="C6" s="6" t="s">
        <v>1</v>
      </c>
      <c r="E6" s="11" t="s">
        <v>37</v>
      </c>
      <c r="F6" s="13">
        <f>((F3 - F2)/F4 ) * 100</f>
        <v>15.908111378623783</v>
      </c>
      <c r="G6" s="12" t="s">
        <v>1</v>
      </c>
    </row>
    <row r="7" spans="1:7" x14ac:dyDescent="0.3">
      <c r="A7" s="17" t="s">
        <v>27</v>
      </c>
      <c r="B7" s="7">
        <v>0.6</v>
      </c>
      <c r="C7" s="6" t="s">
        <v>1</v>
      </c>
      <c r="E7" s="11" t="s">
        <v>38</v>
      </c>
      <c r="F7" s="13">
        <f>(0.98*F5 + F3*B14*B26 + B15*B21)/F4</f>
        <v>3014.2701135653056</v>
      </c>
      <c r="G7" s="12" t="s">
        <v>9</v>
      </c>
    </row>
    <row r="8" spans="1:7" x14ac:dyDescent="0.3">
      <c r="A8" s="17" t="s">
        <v>28</v>
      </c>
      <c r="B8" s="7">
        <v>0.3</v>
      </c>
      <c r="C8" s="6" t="s">
        <v>1</v>
      </c>
      <c r="E8" s="11" t="s">
        <v>39</v>
      </c>
      <c r="F8" s="13">
        <f>1392.3*LN(F7) - 9321.8</f>
        <v>1832.072622661437</v>
      </c>
      <c r="G8" s="12" t="s">
        <v>10</v>
      </c>
    </row>
    <row r="9" spans="1:7" x14ac:dyDescent="0.3">
      <c r="A9" s="17" t="s">
        <v>29</v>
      </c>
      <c r="B9" s="7">
        <v>0.8</v>
      </c>
      <c r="C9" s="6" t="s">
        <v>1</v>
      </c>
      <c r="E9" s="11" t="s">
        <v>45</v>
      </c>
      <c r="F9" s="13">
        <f xml:space="preserve"> F7 * B13</f>
        <v>2712.8431022087752</v>
      </c>
      <c r="G9" s="12" t="s">
        <v>9</v>
      </c>
    </row>
    <row r="10" spans="1:7" x14ac:dyDescent="0.3">
      <c r="A10" s="17" t="s">
        <v>30</v>
      </c>
      <c r="B10" s="7">
        <v>850</v>
      </c>
      <c r="C10" s="6" t="s">
        <v>2</v>
      </c>
      <c r="E10" s="11" t="s">
        <v>46</v>
      </c>
      <c r="F10" s="13">
        <f>B26 * B14</f>
        <v>26.261227692171477</v>
      </c>
      <c r="G10" s="12" t="s">
        <v>9</v>
      </c>
    </row>
    <row r="11" spans="1:7" x14ac:dyDescent="0.3">
      <c r="A11" s="17" t="s">
        <v>31</v>
      </c>
      <c r="B11" s="7">
        <v>460</v>
      </c>
      <c r="C11" s="6" t="s">
        <v>2</v>
      </c>
      <c r="E11" s="11" t="s">
        <v>49</v>
      </c>
      <c r="F11" s="13">
        <f>1.614 * B10 - 73.81</f>
        <v>1298.0900000000001</v>
      </c>
      <c r="G11" s="12" t="s">
        <v>9</v>
      </c>
    </row>
    <row r="12" spans="1:7" x14ac:dyDescent="0.3">
      <c r="A12" s="5" t="s">
        <v>89</v>
      </c>
      <c r="B12" s="7">
        <v>1.2</v>
      </c>
      <c r="C12" s="6"/>
      <c r="E12" s="11" t="s">
        <v>50</v>
      </c>
      <c r="F12" s="13">
        <f>1.614 * B11 - 73.81</f>
        <v>668.63000000000011</v>
      </c>
      <c r="G12" s="12" t="s">
        <v>9</v>
      </c>
    </row>
    <row r="13" spans="1:7" x14ac:dyDescent="0.3">
      <c r="A13" s="5" t="s">
        <v>93</v>
      </c>
      <c r="B13" s="7">
        <v>0.9</v>
      </c>
      <c r="C13" s="6"/>
      <c r="E13" s="11" t="s">
        <v>51</v>
      </c>
      <c r="F13" s="13">
        <f>(F9 - F11) / (F11 - F10)</f>
        <v>1.1123770219804037</v>
      </c>
      <c r="G13" s="12" t="s">
        <v>7</v>
      </c>
    </row>
    <row r="14" spans="1:7" x14ac:dyDescent="0.3">
      <c r="A14" s="5" t="s">
        <v>47</v>
      </c>
      <c r="B14" s="7">
        <v>20</v>
      </c>
      <c r="C14" s="6" t="s">
        <v>2</v>
      </c>
      <c r="E14" s="11" t="s">
        <v>98</v>
      </c>
      <c r="F14" s="13">
        <f>B26*B11</f>
        <v>604.00823691994401</v>
      </c>
      <c r="G14" s="12" t="s">
        <v>9</v>
      </c>
    </row>
    <row r="15" spans="1:7" x14ac:dyDescent="0.3">
      <c r="A15" s="5" t="s">
        <v>48</v>
      </c>
      <c r="B15" s="7">
        <v>20</v>
      </c>
      <c r="C15" s="6" t="s">
        <v>2</v>
      </c>
      <c r="E15" s="11" t="s">
        <v>99</v>
      </c>
      <c r="F15" s="13">
        <f>B11-150</f>
        <v>310</v>
      </c>
      <c r="G15" s="12" t="s">
        <v>2</v>
      </c>
    </row>
    <row r="16" spans="1:7" x14ac:dyDescent="0.3">
      <c r="A16" s="5" t="s">
        <v>40</v>
      </c>
      <c r="B16" s="7">
        <v>40</v>
      </c>
      <c r="C16" s="6" t="s">
        <v>10</v>
      </c>
    </row>
    <row r="17" spans="1:12" x14ac:dyDescent="0.3">
      <c r="A17" s="5" t="s">
        <v>81</v>
      </c>
      <c r="B17" s="7">
        <f>B18/3600</f>
        <v>1.75</v>
      </c>
      <c r="C17" s="6" t="s">
        <v>22</v>
      </c>
    </row>
    <row r="18" spans="1:12" x14ac:dyDescent="0.3">
      <c r="A18" s="6"/>
      <c r="B18" s="7">
        <v>6300</v>
      </c>
      <c r="C18" s="6" t="s">
        <v>0</v>
      </c>
      <c r="E18" s="2"/>
      <c r="F18" s="3"/>
    </row>
    <row r="19" spans="1:12" x14ac:dyDescent="0.3">
      <c r="A19" s="5" t="s">
        <v>92</v>
      </c>
      <c r="B19" s="7">
        <v>0.02</v>
      </c>
      <c r="C19" s="6" t="s">
        <v>1</v>
      </c>
      <c r="E19" s="2"/>
      <c r="F19" s="3"/>
    </row>
    <row r="20" spans="1:12" x14ac:dyDescent="0.3">
      <c r="A20" s="5" t="s">
        <v>74</v>
      </c>
      <c r="B20" s="7">
        <v>3.76</v>
      </c>
      <c r="C20" s="6"/>
      <c r="E20" s="33" t="s">
        <v>53</v>
      </c>
      <c r="F20" s="34">
        <v>1</v>
      </c>
      <c r="G20" s="26"/>
    </row>
    <row r="21" spans="1:12" x14ac:dyDescent="0.3">
      <c r="A21" s="5" t="s">
        <v>100</v>
      </c>
      <c r="B21" s="7">
        <v>0.83499999999999996</v>
      </c>
      <c r="C21" s="6" t="s">
        <v>21</v>
      </c>
      <c r="E21" s="33" t="s">
        <v>54</v>
      </c>
      <c r="F21" s="27">
        <v>1</v>
      </c>
      <c r="G21" s="26" t="s">
        <v>52</v>
      </c>
    </row>
    <row r="22" spans="1:12" x14ac:dyDescent="0.3">
      <c r="A22" s="5" t="s">
        <v>41</v>
      </c>
      <c r="B22" s="7">
        <v>0.88</v>
      </c>
      <c r="C22" s="6" t="s">
        <v>21</v>
      </c>
      <c r="E22" s="33" t="s">
        <v>55</v>
      </c>
      <c r="F22" s="27">
        <v>4</v>
      </c>
      <c r="G22" s="26" t="s">
        <v>52</v>
      </c>
    </row>
    <row r="23" spans="1:12" x14ac:dyDescent="0.3">
      <c r="A23" s="6" t="s">
        <v>42</v>
      </c>
      <c r="B23" s="7">
        <v>4.1900000000000004</v>
      </c>
      <c r="C23" s="6" t="s">
        <v>21</v>
      </c>
      <c r="E23" s="33" t="s">
        <v>56</v>
      </c>
      <c r="F23" s="27">
        <f>PI()*F21*F22</f>
        <v>12.566370614359172</v>
      </c>
      <c r="G23" s="26" t="s">
        <v>57</v>
      </c>
    </row>
    <row r="24" spans="1:12" x14ac:dyDescent="0.3">
      <c r="A24" s="5" t="s">
        <v>43</v>
      </c>
      <c r="B24" s="7">
        <v>2675</v>
      </c>
      <c r="C24" s="6" t="s">
        <v>8</v>
      </c>
      <c r="F24" s="3"/>
    </row>
    <row r="25" spans="1:12" x14ac:dyDescent="0.3">
      <c r="E25" s="23" t="s">
        <v>58</v>
      </c>
      <c r="F25" s="24">
        <f>(B22+0.01*F39*B23)*(F15-B16)+0.01*(F38-F39)*(B24-B27+B28*(B11-100)*B17)</f>
        <v>2103.7945959216049</v>
      </c>
      <c r="G25" s="25" t="s">
        <v>11</v>
      </c>
      <c r="I25" s="22" t="s">
        <v>15</v>
      </c>
      <c r="J25" s="21">
        <f>F25</f>
        <v>2103.7945959216049</v>
      </c>
      <c r="K25" s="21">
        <f t="shared" ref="K25:K30" si="0">(J25/$F$46) * 100</f>
        <v>41.750329567006403</v>
      </c>
      <c r="L25" s="22" t="s">
        <v>1</v>
      </c>
    </row>
    <row r="26" spans="1:12" x14ac:dyDescent="0.3">
      <c r="A26" s="16" t="s">
        <v>101</v>
      </c>
      <c r="B26" s="14">
        <f>1.3107*EXP(9*10^(-5)*B14)</f>
        <v>1.3130613846085739</v>
      </c>
      <c r="C26" s="15" t="s">
        <v>21</v>
      </c>
      <c r="E26" s="23" t="s">
        <v>95</v>
      </c>
      <c r="F26" s="24">
        <f>(F12+F13*(F14-F10))*F4</f>
        <v>17285.458476811047</v>
      </c>
      <c r="G26" s="25" t="s">
        <v>71</v>
      </c>
      <c r="I26" s="22" t="s">
        <v>16</v>
      </c>
      <c r="J26" s="21">
        <f>F26*F44</f>
        <v>2167.209626703609</v>
      </c>
      <c r="K26" s="21">
        <f t="shared" si="0"/>
        <v>43.008816702482051</v>
      </c>
      <c r="L26" s="22" t="s">
        <v>1</v>
      </c>
    </row>
    <row r="27" spans="1:12" x14ac:dyDescent="0.3">
      <c r="A27" s="16" t="s">
        <v>44</v>
      </c>
      <c r="B27" s="14">
        <f>B23*B14</f>
        <v>83.800000000000011</v>
      </c>
      <c r="C27" s="15" t="s">
        <v>8</v>
      </c>
      <c r="E27" s="23" t="s">
        <v>97</v>
      </c>
      <c r="F27" s="24">
        <f>B19*F5</f>
        <v>803.81000000000006</v>
      </c>
      <c r="G27" s="25" t="s">
        <v>71</v>
      </c>
      <c r="I27" s="22" t="s">
        <v>17</v>
      </c>
      <c r="J27" s="21">
        <f>F27*F44</f>
        <v>100.77978390782089</v>
      </c>
      <c r="K27" s="21">
        <f t="shared" si="0"/>
        <v>2</v>
      </c>
      <c r="L27" s="22" t="s">
        <v>1</v>
      </c>
    </row>
    <row r="28" spans="1:12" x14ac:dyDescent="0.3">
      <c r="A28" s="16" t="s">
        <v>86</v>
      </c>
      <c r="B28" s="14">
        <f>C33</f>
        <v>23.724685223856266</v>
      </c>
      <c r="C28" s="15" t="s">
        <v>21</v>
      </c>
      <c r="E28" s="23" t="s">
        <v>59</v>
      </c>
      <c r="F28" s="24">
        <v>0</v>
      </c>
      <c r="G28" s="25" t="s">
        <v>11</v>
      </c>
      <c r="I28" s="22" t="s">
        <v>72</v>
      </c>
      <c r="J28" s="21">
        <f>F28*F44</f>
        <v>0</v>
      </c>
      <c r="K28" s="21">
        <f t="shared" si="0"/>
        <v>0</v>
      </c>
      <c r="L28" s="22" t="s">
        <v>1</v>
      </c>
    </row>
    <row r="29" spans="1:12" x14ac:dyDescent="0.3">
      <c r="E29" s="23" t="s">
        <v>96</v>
      </c>
      <c r="F29" s="24">
        <f>(1-B13)*F5</f>
        <v>4019.0499999999993</v>
      </c>
      <c r="G29" s="25" t="s">
        <v>71</v>
      </c>
      <c r="I29" s="22" t="s">
        <v>18</v>
      </c>
      <c r="J29" s="21">
        <f>F29*F44</f>
        <v>503.89891953910427</v>
      </c>
      <c r="K29" s="21">
        <f t="shared" si="0"/>
        <v>9.9999999999999982</v>
      </c>
      <c r="L29" s="22" t="s">
        <v>1</v>
      </c>
    </row>
    <row r="30" spans="1:12" x14ac:dyDescent="0.3">
      <c r="E30" s="23" t="s">
        <v>73</v>
      </c>
      <c r="F30" s="24">
        <f>(0.001*F35*(F32-B14)*F23)</f>
        <v>163.30626931890461</v>
      </c>
      <c r="G30" s="25" t="s">
        <v>11</v>
      </c>
      <c r="I30" s="22" t="s">
        <v>20</v>
      </c>
      <c r="J30" s="21">
        <f>F30</f>
        <v>163.30626931890461</v>
      </c>
      <c r="K30" s="21">
        <f t="shared" si="0"/>
        <v>3.2408537305115503</v>
      </c>
      <c r="L30" s="22" t="s">
        <v>1</v>
      </c>
    </row>
    <row r="31" spans="1:12" ht="7.5" customHeight="1" x14ac:dyDescent="0.3"/>
    <row r="32" spans="1:12" x14ac:dyDescent="0.3">
      <c r="A32" s="8" t="s">
        <v>85</v>
      </c>
      <c r="B32" s="9"/>
      <c r="C32" s="9"/>
      <c r="E32" s="28" t="s">
        <v>60</v>
      </c>
      <c r="F32" s="29">
        <f>(F33+F34)/2</f>
        <v>415</v>
      </c>
      <c r="G32" s="30" t="s">
        <v>2</v>
      </c>
    </row>
    <row r="33" spans="1:14" x14ac:dyDescent="0.3">
      <c r="A33" s="8" t="s">
        <v>102</v>
      </c>
      <c r="B33" s="10">
        <f>3*10^(-7)*(B11-100)^3-7*10^(-5)*(B11-100)^2+0.0077*(B11-100)+1.7724</f>
        <v>9.4691999999999972</v>
      </c>
      <c r="C33" s="10">
        <f>IF((B11-100)&gt;=100,IF((B11-100)&lt;200,B33,IF((B11-100)&gt;=200,IF((B11-100)&lt;260,B34,IF((B11-100)&gt;=260,IF((B11-100)&lt;=300,B35,IF((B11-100)&gt;300,IF((B11-100)&lt;340,B36,IF((B11-100)&gt;=340,IF((B11-100)&lt;=350,B37,IF((B11-100)&gt;350,IF((B11-100)&lt;=360,B38,"OUTOFRANGER"))))))))))))</f>
        <v>23.724685223856266</v>
      </c>
      <c r="E33" s="28" t="s">
        <v>61</v>
      </c>
      <c r="F33" s="29">
        <f>(B10+B16)/2</f>
        <v>445</v>
      </c>
      <c r="G33" s="30" t="s">
        <v>2</v>
      </c>
    </row>
    <row r="34" spans="1:14" x14ac:dyDescent="0.3">
      <c r="A34" s="8" t="s">
        <v>103</v>
      </c>
      <c r="B34" s="10">
        <f>0.8443*EXP(0.0063*(B11-100))</f>
        <v>8.1559898048522914</v>
      </c>
      <c r="C34" s="9"/>
      <c r="E34" s="28" t="s">
        <v>62</v>
      </c>
      <c r="F34" s="29">
        <f>(B11+F15)/2</f>
        <v>385</v>
      </c>
      <c r="G34" s="30" t="s">
        <v>2</v>
      </c>
    </row>
    <row r="35" spans="1:14" x14ac:dyDescent="0.3">
      <c r="A35" s="8" t="s">
        <v>104</v>
      </c>
      <c r="B35" s="10">
        <f>0.4868*EXP(0.0085*(B11-100))</f>
        <v>10.382254826474696</v>
      </c>
      <c r="C35" s="9"/>
      <c r="E35" s="28" t="s">
        <v>63</v>
      </c>
      <c r="F35" s="29">
        <f>8+0.06*F32</f>
        <v>32.9</v>
      </c>
      <c r="G35" s="30" t="s">
        <v>19</v>
      </c>
    </row>
    <row r="36" spans="1:14" x14ac:dyDescent="0.3">
      <c r="A36" s="8" t="s">
        <v>105</v>
      </c>
      <c r="B36" s="10">
        <f>0.0394*EXP(0.0168*(B11-100))</f>
        <v>16.676666674834014</v>
      </c>
      <c r="C36" s="9"/>
      <c r="E36" s="28" t="s">
        <v>90</v>
      </c>
      <c r="F36" s="29">
        <f>B17*(F38-F39)*0.01</f>
        <v>0.18565047459519821</v>
      </c>
      <c r="G36" s="30" t="s">
        <v>91</v>
      </c>
    </row>
    <row r="37" spans="1:14" x14ac:dyDescent="0.3">
      <c r="A37" s="8" t="s">
        <v>106</v>
      </c>
      <c r="B37" s="10">
        <f>0.3835*(B11-100) - 118.19</f>
        <v>19.870000000000005</v>
      </c>
      <c r="C37" s="9"/>
      <c r="E37" s="30"/>
      <c r="F37" s="29" t="b">
        <f>B26=F36*3600</f>
        <v>0</v>
      </c>
      <c r="G37" s="30" t="s">
        <v>0</v>
      </c>
    </row>
    <row r="38" spans="1:14" x14ac:dyDescent="0.3">
      <c r="A38" s="8" t="s">
        <v>107</v>
      </c>
      <c r="B38" s="10">
        <f>8*10^(-5)*EXP(0.035*(B11-100))</f>
        <v>23.724685223856266</v>
      </c>
      <c r="C38" s="9"/>
      <c r="E38" s="28" t="s">
        <v>66</v>
      </c>
      <c r="F38" s="29">
        <f>B1/(1-0.01 * B1)</f>
        <v>11.111111111111111</v>
      </c>
      <c r="G38" s="30" t="s">
        <v>1</v>
      </c>
      <c r="N38" s="1"/>
    </row>
    <row r="39" spans="1:14" x14ac:dyDescent="0.3">
      <c r="A39" s="8" t="s">
        <v>94</v>
      </c>
      <c r="B39" s="9"/>
      <c r="C39" s="9"/>
      <c r="E39" s="28" t="s">
        <v>67</v>
      </c>
      <c r="F39" s="29">
        <f>B2/(1-0.01 * B2)</f>
        <v>0.50251256281407031</v>
      </c>
      <c r="G39" s="30" t="s">
        <v>1</v>
      </c>
    </row>
    <row r="40" spans="1:14" x14ac:dyDescent="0.3">
      <c r="A40" s="8" t="s">
        <v>75</v>
      </c>
      <c r="B40" s="10">
        <f>0.01*1.867*B3</f>
        <v>1.6168219999999998</v>
      </c>
      <c r="C40" s="9"/>
    </row>
    <row r="41" spans="1:14" x14ac:dyDescent="0.3">
      <c r="A41" s="8" t="s">
        <v>76</v>
      </c>
      <c r="B41" s="10">
        <f>0.01*0.7*B5</f>
        <v>6.2999999999999992E-3</v>
      </c>
      <c r="C41" s="9"/>
    </row>
    <row r="42" spans="1:14" x14ac:dyDescent="0.3">
      <c r="A42" s="8" t="s">
        <v>77</v>
      </c>
      <c r="B42" s="10">
        <f>0.01*(11.2*B4 + 1.244*B9)</f>
        <v>1.1747519999999998</v>
      </c>
      <c r="C42" s="9"/>
      <c r="E42" s="31" t="s">
        <v>64</v>
      </c>
      <c r="F42" s="32">
        <f>(F5-F29-F27-F26)*F44</f>
        <v>2267.1008652405094</v>
      </c>
      <c r="G42" s="32">
        <f>F30+F25</f>
        <v>2267.1008652405094</v>
      </c>
    </row>
    <row r="43" spans="1:14" x14ac:dyDescent="0.3">
      <c r="A43" s="8" t="s">
        <v>78</v>
      </c>
      <c r="B43" s="10">
        <f>0.01*0.8*B7 + B20*F1</f>
        <v>8.2870347199999976</v>
      </c>
      <c r="C43" s="9"/>
      <c r="E43" s="31"/>
      <c r="F43" s="32">
        <f>F42-G42</f>
        <v>0</v>
      </c>
      <c r="G43" s="4"/>
    </row>
    <row r="44" spans="1:14" x14ac:dyDescent="0.3">
      <c r="A44" s="8" t="s">
        <v>79</v>
      </c>
      <c r="B44" s="10">
        <f>B43+B20*(B12-1)*F1</f>
        <v>9.9434816639999966</v>
      </c>
      <c r="C44" s="9"/>
      <c r="E44" s="18" t="s">
        <v>65</v>
      </c>
      <c r="F44" s="19">
        <f>(F25+F30)/(F5-F26-F27-F29)</f>
        <v>0.12537761897441047</v>
      </c>
      <c r="G44" s="20" t="s">
        <v>22</v>
      </c>
    </row>
    <row r="45" spans="1:14" x14ac:dyDescent="0.3">
      <c r="A45" s="8" t="s">
        <v>80</v>
      </c>
      <c r="B45" s="10">
        <f>(B12-1) * F1</f>
        <v>0.44054439999999984</v>
      </c>
      <c r="C45" s="9"/>
      <c r="E45" s="18"/>
      <c r="F45" s="19">
        <f>F44*3600</f>
        <v>451.35942830787769</v>
      </c>
      <c r="G45" s="20" t="s">
        <v>0</v>
      </c>
    </row>
    <row r="46" spans="1:14" x14ac:dyDescent="0.3">
      <c r="E46" s="18" t="s">
        <v>68</v>
      </c>
      <c r="F46" s="19">
        <f>F5*F44</f>
        <v>5038.9891953910437</v>
      </c>
      <c r="G46" s="20" t="s">
        <v>11</v>
      </c>
    </row>
    <row r="47" spans="1:14" x14ac:dyDescent="0.3">
      <c r="E47" s="18" t="s">
        <v>69</v>
      </c>
      <c r="F47" s="19">
        <f>F46/F44</f>
        <v>40190.5</v>
      </c>
      <c r="G47" s="20" t="s">
        <v>8</v>
      </c>
    </row>
    <row r="48" spans="1:14" x14ac:dyDescent="0.3">
      <c r="E48" s="18" t="s">
        <v>70</v>
      </c>
      <c r="F48" s="19">
        <f>K25</f>
        <v>41.750329567006403</v>
      </c>
      <c r="G48" s="20" t="s">
        <v>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Типоразмер1">
                <anchor moveWithCells="1" sizeWithCells="1">
                  <from>
                    <xdr:col>5</xdr:col>
                    <xdr:colOff>7620</xdr:colOff>
                    <xdr:row>18</xdr:row>
                    <xdr:rowOff>0</xdr:rowOff>
                  </from>
                  <to>
                    <xdr:col>5</xdr:col>
                    <xdr:colOff>190500</xdr:colOff>
                    <xdr:row>18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Типоразмер2">
                <anchor moveWithCells="1" sizeWithCells="1">
                  <from>
                    <xdr:col>5</xdr:col>
                    <xdr:colOff>198120</xdr:colOff>
                    <xdr:row>18</xdr:row>
                    <xdr:rowOff>0</xdr:rowOff>
                  </from>
                  <to>
                    <xdr:col>5</xdr:col>
                    <xdr:colOff>381000</xdr:colOff>
                    <xdr:row>18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Типоразмер3">
                <anchor moveWithCells="1" sizeWithCells="1">
                  <from>
                    <xdr:col>5</xdr:col>
                    <xdr:colOff>388620</xdr:colOff>
                    <xdr:row>18</xdr:row>
                    <xdr:rowOff>0</xdr:rowOff>
                  </from>
                  <to>
                    <xdr:col>5</xdr:col>
                    <xdr:colOff>571500</xdr:colOff>
                    <xdr:row>18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Типоразмер4">
                <anchor moveWithCells="1" sizeWithCells="1">
                  <from>
                    <xdr:col>5</xdr:col>
                    <xdr:colOff>594360</xdr:colOff>
                    <xdr:row>18</xdr:row>
                    <xdr:rowOff>0</xdr:rowOff>
                  </from>
                  <to>
                    <xdr:col>6</xdr:col>
                    <xdr:colOff>0</xdr:colOff>
                    <xdr:row>18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Расчёт">
                <anchor moveWithCells="1" sizeWithCells="1">
                  <from>
                    <xdr:col>6</xdr:col>
                    <xdr:colOff>0</xdr:colOff>
                    <xdr:row>40</xdr:row>
                    <xdr:rowOff>0</xdr:rowOff>
                  </from>
                  <to>
                    <xdr:col>6</xdr:col>
                    <xdr:colOff>647700</xdr:colOff>
                    <xdr:row>40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Глина2">
                <anchor moveWithCells="1">
                  <from>
                    <xdr:col>3</xdr:col>
                    <xdr:colOff>7620</xdr:colOff>
                    <xdr:row>1</xdr:row>
                    <xdr:rowOff>60960</xdr:rowOff>
                  </from>
                  <to>
                    <xdr:col>3</xdr:col>
                    <xdr:colOff>556260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Button 12">
              <controlPr defaultSize="0" print="0" autoFill="0" autoPict="0" macro="[0]!Песок2">
                <anchor moveWithCells="1">
                  <from>
                    <xdr:col>3</xdr:col>
                    <xdr:colOff>7620</xdr:colOff>
                    <xdr:row>0</xdr:row>
                    <xdr:rowOff>7620</xdr:rowOff>
                  </from>
                  <to>
                    <xdr:col>3</xdr:col>
                    <xdr:colOff>556260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F30"/>
  <sheetViews>
    <sheetView topLeftCell="A4" workbookViewId="0">
      <selection activeCell="D7" sqref="D7"/>
    </sheetView>
  </sheetViews>
  <sheetFormatPr defaultRowHeight="14.4" x14ac:dyDescent="0.3"/>
  <sheetData>
    <row r="1" spans="1:6" x14ac:dyDescent="0.3">
      <c r="A1" t="s">
        <v>13</v>
      </c>
      <c r="B1" t="s">
        <v>12</v>
      </c>
    </row>
    <row r="2" spans="1:6" x14ac:dyDescent="0.3">
      <c r="A2">
        <v>2200</v>
      </c>
      <c r="B2">
        <v>1375</v>
      </c>
      <c r="D2">
        <f>1392.3*LN(A2) - 9321.8</f>
        <v>1393.6368577620033</v>
      </c>
    </row>
    <row r="3" spans="1:6" x14ac:dyDescent="0.3">
      <c r="A3">
        <v>2400</v>
      </c>
      <c r="B3">
        <v>1500</v>
      </c>
      <c r="D3">
        <f t="shared" ref="D3:D11" si="0">1392.3*LN(A3) - 9321.8</f>
        <v>1514.7827979446647</v>
      </c>
    </row>
    <row r="4" spans="1:6" x14ac:dyDescent="0.3">
      <c r="A4">
        <v>2500</v>
      </c>
      <c r="B4">
        <v>1610</v>
      </c>
      <c r="D4">
        <f t="shared" si="0"/>
        <v>1571.6192609152149</v>
      </c>
    </row>
    <row r="5" spans="1:6" x14ac:dyDescent="0.3">
      <c r="A5">
        <v>2800</v>
      </c>
      <c r="B5">
        <v>1725</v>
      </c>
      <c r="D5">
        <f t="shared" si="0"/>
        <v>1729.4067894681557</v>
      </c>
    </row>
    <row r="6" spans="1:6" x14ac:dyDescent="0.3">
      <c r="A6">
        <v>3000</v>
      </c>
      <c r="B6">
        <v>1825</v>
      </c>
      <c r="D6">
        <f t="shared" si="0"/>
        <v>1825.465564439437</v>
      </c>
      <c r="F6" t="s">
        <v>14</v>
      </c>
    </row>
    <row r="7" spans="1:6" x14ac:dyDescent="0.3">
      <c r="A7">
        <v>3200</v>
      </c>
      <c r="B7">
        <v>1910</v>
      </c>
      <c r="D7">
        <f t="shared" si="0"/>
        <v>1915.3225474192805</v>
      </c>
    </row>
    <row r="8" spans="1:6" x14ac:dyDescent="0.3">
      <c r="A8">
        <v>3620</v>
      </c>
      <c r="B8">
        <v>2100</v>
      </c>
      <c r="D8">
        <f t="shared" si="0"/>
        <v>2087.0254611006312</v>
      </c>
    </row>
    <row r="9" spans="1:6" x14ac:dyDescent="0.3">
      <c r="A9">
        <v>3900</v>
      </c>
      <c r="B9">
        <v>2200</v>
      </c>
      <c r="D9">
        <f t="shared" si="0"/>
        <v>2190.7553298575258</v>
      </c>
    </row>
    <row r="10" spans="1:6" x14ac:dyDescent="0.3">
      <c r="A10">
        <v>4200</v>
      </c>
      <c r="B10">
        <v>2300</v>
      </c>
      <c r="D10">
        <f t="shared" si="0"/>
        <v>2293.9358594871537</v>
      </c>
    </row>
    <row r="11" spans="1:6" x14ac:dyDescent="0.3">
      <c r="A11">
        <v>4600</v>
      </c>
      <c r="B11">
        <v>2400</v>
      </c>
      <c r="D11">
        <f t="shared" si="0"/>
        <v>2420.5958662829871</v>
      </c>
    </row>
    <row r="24" spans="1:4" x14ac:dyDescent="0.3">
      <c r="A24" t="s">
        <v>6</v>
      </c>
      <c r="B24" t="s">
        <v>12</v>
      </c>
    </row>
    <row r="25" spans="1:4" x14ac:dyDescent="0.3">
      <c r="A25">
        <v>900</v>
      </c>
      <c r="B25">
        <v>600</v>
      </c>
      <c r="D25">
        <f>1.614 * B25 - 73.81</f>
        <v>894.59000000000015</v>
      </c>
    </row>
    <row r="26" spans="1:4" x14ac:dyDescent="0.3">
      <c r="A26">
        <v>1050</v>
      </c>
      <c r="B26">
        <v>700</v>
      </c>
      <c r="D26">
        <f t="shared" ref="D26:D30" si="1">1.614 * B26 - 73.81</f>
        <v>1055.9900000000002</v>
      </c>
    </row>
    <row r="27" spans="1:4" x14ac:dyDescent="0.3">
      <c r="A27">
        <v>1220</v>
      </c>
      <c r="B27">
        <v>800</v>
      </c>
      <c r="D27">
        <f t="shared" si="1"/>
        <v>1217.3900000000001</v>
      </c>
    </row>
    <row r="28" spans="1:4" x14ac:dyDescent="0.3">
      <c r="A28">
        <v>1370</v>
      </c>
      <c r="B28">
        <v>900</v>
      </c>
      <c r="D28">
        <f t="shared" si="1"/>
        <v>1378.7900000000002</v>
      </c>
    </row>
    <row r="29" spans="1:4" x14ac:dyDescent="0.3">
      <c r="A29">
        <v>1550</v>
      </c>
      <c r="B29">
        <v>1000</v>
      </c>
      <c r="D29">
        <f t="shared" si="1"/>
        <v>1540.19</v>
      </c>
    </row>
    <row r="30" spans="1:4" x14ac:dyDescent="0.3">
      <c r="A30">
        <v>1700</v>
      </c>
      <c r="B30">
        <v>1100</v>
      </c>
      <c r="D30">
        <f t="shared" si="1"/>
        <v>1701.5900000000001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P79"/>
  <sheetViews>
    <sheetView workbookViewId="0">
      <selection activeCell="O9" sqref="O9"/>
    </sheetView>
  </sheetViews>
  <sheetFormatPr defaultRowHeight="14.4" x14ac:dyDescent="0.3"/>
  <cols>
    <col min="7" max="7" width="9.33203125" customWidth="1"/>
  </cols>
  <sheetData>
    <row r="1" spans="1:16" x14ac:dyDescent="0.3">
      <c r="A1">
        <v>100</v>
      </c>
      <c r="B1">
        <v>2.1349999999999998</v>
      </c>
      <c r="D1" t="s">
        <v>83</v>
      </c>
      <c r="E1">
        <f t="shared" ref="E1:E12" si="0">3*10^(-7)*A1^3-7*10^(-5)*A1^2+0.0077*A1+1.7724</f>
        <v>2.1423999999999999</v>
      </c>
      <c r="G1">
        <v>210</v>
      </c>
      <c r="H1">
        <v>3.1989999999999998</v>
      </c>
      <c r="I1">
        <f>0.8443*EXP(0.0063*G1)</f>
        <v>3.1700666176290611</v>
      </c>
      <c r="K1">
        <f>(L1-L11)/10</f>
        <v>0.5925426100864698</v>
      </c>
      <c r="L1">
        <f>M1/N1</f>
        <v>27.530364372469638</v>
      </c>
      <c r="M1">
        <v>340</v>
      </c>
      <c r="N1">
        <v>12.35</v>
      </c>
      <c r="O1">
        <f>M1/L1</f>
        <v>12.35</v>
      </c>
      <c r="P1" s="4">
        <f>0.3835*M1 - 118.19</f>
        <v>12.200000000000017</v>
      </c>
    </row>
    <row r="2" spans="1:16" x14ac:dyDescent="0.3">
      <c r="A2">
        <v>110</v>
      </c>
      <c r="B2">
        <v>2.177</v>
      </c>
      <c r="E2">
        <f t="shared" si="0"/>
        <v>2.1717</v>
      </c>
      <c r="G2">
        <v>220</v>
      </c>
      <c r="H2">
        <v>3.4079999999999999</v>
      </c>
      <c r="I2">
        <f t="shared" ref="I2:I6" si="1">0.8443*EXP(0.0063*G2)</f>
        <v>3.3762060299261551</v>
      </c>
      <c r="L2">
        <f t="shared" ref="L2:L10" si="2">L1-$K$1</f>
        <v>26.937821762383169</v>
      </c>
      <c r="M2">
        <v>341</v>
      </c>
      <c r="O2">
        <f>M2/L2</f>
        <v>12.658781508317174</v>
      </c>
      <c r="P2">
        <f t="shared" ref="P2:P11" si="3">0.3835*M2 - 118.19</f>
        <v>12.583500000000015</v>
      </c>
    </row>
    <row r="3" spans="1:16" x14ac:dyDescent="0.3">
      <c r="A3">
        <v>120</v>
      </c>
      <c r="B3">
        <v>2.206</v>
      </c>
      <c r="E3">
        <f t="shared" si="0"/>
        <v>2.2067999999999999</v>
      </c>
      <c r="G3">
        <v>230</v>
      </c>
      <c r="H3">
        <v>3.6339999999999999</v>
      </c>
      <c r="I3">
        <f t="shared" si="1"/>
        <v>3.595750036645927</v>
      </c>
      <c r="L3">
        <f t="shared" si="2"/>
        <v>26.345279152296701</v>
      </c>
      <c r="M3">
        <v>342</v>
      </c>
      <c r="O3">
        <f t="shared" ref="O3:O21" si="4">M3/L3</f>
        <v>12.981452882809386</v>
      </c>
      <c r="P3">
        <f t="shared" si="3"/>
        <v>12.967000000000013</v>
      </c>
    </row>
    <row r="4" spans="1:16" x14ac:dyDescent="0.3">
      <c r="A4">
        <v>130</v>
      </c>
      <c r="B4">
        <v>2.2570000000000001</v>
      </c>
      <c r="E4">
        <f t="shared" si="0"/>
        <v>2.2495000000000003</v>
      </c>
      <c r="G4">
        <v>240</v>
      </c>
      <c r="H4">
        <v>3.8010000000000002</v>
      </c>
      <c r="I4">
        <f t="shared" si="1"/>
        <v>3.8295702961948623</v>
      </c>
      <c r="L4">
        <f t="shared" si="2"/>
        <v>25.752736542210233</v>
      </c>
      <c r="M4">
        <v>343</v>
      </c>
      <c r="O4">
        <f t="shared" si="4"/>
        <v>13.31897289586305</v>
      </c>
      <c r="P4">
        <f t="shared" si="3"/>
        <v>13.350500000000011</v>
      </c>
    </row>
    <row r="5" spans="1:16" x14ac:dyDescent="0.3">
      <c r="A5">
        <v>140</v>
      </c>
      <c r="B5">
        <v>2.3149999999999999</v>
      </c>
      <c r="E5">
        <f t="shared" si="0"/>
        <v>2.3015999999999996</v>
      </c>
      <c r="G5">
        <v>250</v>
      </c>
      <c r="H5">
        <v>4.1580000000000004</v>
      </c>
      <c r="I5">
        <f t="shared" si="1"/>
        <v>4.0785951481705078</v>
      </c>
      <c r="L5">
        <f t="shared" si="2"/>
        <v>25.160193932123764</v>
      </c>
      <c r="M5">
        <v>344</v>
      </c>
      <c r="O5">
        <f t="shared" si="4"/>
        <v>13.672390639278474</v>
      </c>
      <c r="P5">
        <f t="shared" si="3"/>
        <v>13.734000000000009</v>
      </c>
    </row>
    <row r="6" spans="1:16" x14ac:dyDescent="0.3">
      <c r="A6">
        <v>150</v>
      </c>
      <c r="B6">
        <v>2.395</v>
      </c>
      <c r="E6">
        <f t="shared" si="0"/>
        <v>2.3648999999999996</v>
      </c>
      <c r="G6">
        <v>260</v>
      </c>
      <c r="H6">
        <v>4.4669999999999996</v>
      </c>
      <c r="I6">
        <f t="shared" si="1"/>
        <v>4.3438132991601748</v>
      </c>
      <c r="L6">
        <f t="shared" si="2"/>
        <v>24.567651322037296</v>
      </c>
      <c r="M6">
        <v>345</v>
      </c>
      <c r="O6">
        <f t="shared" si="4"/>
        <v>14.042856416255526</v>
      </c>
      <c r="P6">
        <f t="shared" si="3"/>
        <v>14.117500000000007</v>
      </c>
    </row>
    <row r="7" spans="1:16" x14ac:dyDescent="0.3">
      <c r="A7">
        <v>160</v>
      </c>
      <c r="B7">
        <v>2.4790000000000001</v>
      </c>
      <c r="E7">
        <f t="shared" si="0"/>
        <v>2.4411999999999994</v>
      </c>
      <c r="L7">
        <f t="shared" si="2"/>
        <v>23.975108711950828</v>
      </c>
      <c r="M7">
        <v>346</v>
      </c>
      <c r="O7">
        <f t="shared" si="4"/>
        <v>14.431634248545869</v>
      </c>
      <c r="P7">
        <f t="shared" si="3"/>
        <v>14.501000000000005</v>
      </c>
    </row>
    <row r="8" spans="1:16" x14ac:dyDescent="0.3">
      <c r="A8">
        <v>170</v>
      </c>
      <c r="B8">
        <v>2.5830000000000002</v>
      </c>
      <c r="E8">
        <f t="shared" si="0"/>
        <v>2.5322999999999998</v>
      </c>
      <c r="G8">
        <v>260</v>
      </c>
      <c r="H8">
        <v>4.4669999999999996</v>
      </c>
      <c r="I8" s="4">
        <f>0.4868*EXP(0.0085*G8)</f>
        <v>4.4375307401320203</v>
      </c>
      <c r="L8">
        <f t="shared" si="2"/>
        <v>23.382566101864359</v>
      </c>
      <c r="M8">
        <v>347</v>
      </c>
      <c r="O8">
        <f t="shared" si="4"/>
        <v>14.840116285283704</v>
      </c>
      <c r="P8">
        <f t="shared" si="3"/>
        <v>14.884500000000003</v>
      </c>
    </row>
    <row r="9" spans="1:16" x14ac:dyDescent="0.3">
      <c r="A9">
        <v>180</v>
      </c>
      <c r="B9">
        <v>2.7090000000000001</v>
      </c>
      <c r="E9">
        <f t="shared" si="0"/>
        <v>2.6399999999999997</v>
      </c>
      <c r="G9">
        <v>270</v>
      </c>
      <c r="H9">
        <v>4.8099999999999996</v>
      </c>
      <c r="I9">
        <f t="shared" ref="I9:I12" si="5">0.4868*EXP(0.0085*G9)</f>
        <v>4.8312154507805101</v>
      </c>
      <c r="L9">
        <f t="shared" si="2"/>
        <v>22.790023491777891</v>
      </c>
      <c r="M9">
        <v>348</v>
      </c>
      <c r="O9">
        <f t="shared" si="4"/>
        <v>15.269839459601711</v>
      </c>
      <c r="P9">
        <f t="shared" si="3"/>
        <v>15.268000000000001</v>
      </c>
    </row>
    <row r="10" spans="1:16" x14ac:dyDescent="0.3">
      <c r="A10">
        <v>190</v>
      </c>
      <c r="B10">
        <v>2.855</v>
      </c>
      <c r="E10">
        <f t="shared" si="0"/>
        <v>2.7660999999999998</v>
      </c>
      <c r="G10">
        <v>280</v>
      </c>
      <c r="H10">
        <v>5.23</v>
      </c>
      <c r="I10">
        <f t="shared" si="5"/>
        <v>5.259826714161739</v>
      </c>
      <c r="L10">
        <f t="shared" si="2"/>
        <v>22.197480881691423</v>
      </c>
      <c r="M10">
        <v>349</v>
      </c>
      <c r="O10">
        <f t="shared" si="4"/>
        <v>15.722504813050957</v>
      </c>
      <c r="P10">
        <f t="shared" si="3"/>
        <v>15.651499999999999</v>
      </c>
    </row>
    <row r="11" spans="1:16" x14ac:dyDescent="0.3">
      <c r="A11">
        <v>200</v>
      </c>
      <c r="B11">
        <v>3.0230000000000001</v>
      </c>
      <c r="E11">
        <f t="shared" si="0"/>
        <v>2.9123999999999999</v>
      </c>
      <c r="G11">
        <v>290</v>
      </c>
      <c r="H11">
        <v>5.6909999999999998</v>
      </c>
      <c r="I11">
        <f t="shared" si="5"/>
        <v>5.726463111584045</v>
      </c>
      <c r="K11">
        <f>(L11-L21)/10</f>
        <v>0.5952764358561462</v>
      </c>
      <c r="L11">
        <f>M11/N11</f>
        <v>21.60493827160494</v>
      </c>
      <c r="M11">
        <v>350</v>
      </c>
      <c r="N11">
        <v>16.2</v>
      </c>
      <c r="O11">
        <f t="shared" si="4"/>
        <v>16.2</v>
      </c>
      <c r="P11">
        <f t="shared" si="3"/>
        <v>16.034999999999997</v>
      </c>
    </row>
    <row r="12" spans="1:16" x14ac:dyDescent="0.3">
      <c r="A12">
        <v>210</v>
      </c>
      <c r="B12">
        <v>3.1989999999999998</v>
      </c>
      <c r="E12">
        <f t="shared" si="0"/>
        <v>3.0806999999999993</v>
      </c>
      <c r="G12">
        <v>300</v>
      </c>
      <c r="H12">
        <v>6.2809999999999997</v>
      </c>
      <c r="I12" s="4">
        <f t="shared" si="5"/>
        <v>6.2344981214003665</v>
      </c>
      <c r="L12">
        <f t="shared" ref="L12:L20" si="6">L11-$K$11</f>
        <v>21.009661835748794</v>
      </c>
      <c r="M12">
        <v>351</v>
      </c>
      <c r="O12">
        <f t="shared" si="4"/>
        <v>16.706599218211082</v>
      </c>
      <c r="P12">
        <f>8*10^(-5)*EXP(0.035*M12)</f>
        <v>17.314011321905802</v>
      </c>
    </row>
    <row r="13" spans="1:16" x14ac:dyDescent="0.3">
      <c r="A13">
        <v>220</v>
      </c>
      <c r="B13">
        <v>3.4079999999999999</v>
      </c>
      <c r="L13">
        <f t="shared" si="6"/>
        <v>20.414385399892648</v>
      </c>
      <c r="M13">
        <v>352</v>
      </c>
      <c r="O13">
        <f t="shared" si="4"/>
        <v>17.242742953302482</v>
      </c>
      <c r="P13">
        <f t="shared" ref="P13:P21" si="7">8*10^(-5)*EXP(0.035*M13)</f>
        <v>17.930731363345437</v>
      </c>
    </row>
    <row r="14" spans="1:16" x14ac:dyDescent="0.3">
      <c r="A14">
        <v>230</v>
      </c>
      <c r="B14">
        <v>3.6339999999999999</v>
      </c>
      <c r="G14">
        <v>300</v>
      </c>
      <c r="H14">
        <v>6.2809999999999997</v>
      </c>
      <c r="I14">
        <f>0.0394*EXP(0.0168*G14)</f>
        <v>6.0861185920200995</v>
      </c>
      <c r="L14">
        <f t="shared" si="6"/>
        <v>19.819108964036502</v>
      </c>
      <c r="M14">
        <v>353</v>
      </c>
      <c r="O14">
        <f t="shared" si="4"/>
        <v>17.811093356444491</v>
      </c>
      <c r="P14">
        <f t="shared" si="7"/>
        <v>18.569418793072074</v>
      </c>
    </row>
    <row r="15" spans="1:16" x14ac:dyDescent="0.3">
      <c r="A15">
        <v>240</v>
      </c>
      <c r="B15">
        <v>3.8010000000000002</v>
      </c>
      <c r="G15">
        <v>310</v>
      </c>
      <c r="H15">
        <v>7.12</v>
      </c>
      <c r="I15">
        <f t="shared" ref="I15:I17" si="8">0.0394*EXP(0.0168*G15)</f>
        <v>7.1994924992448768</v>
      </c>
      <c r="L15">
        <f t="shared" si="6"/>
        <v>19.223832528180356</v>
      </c>
      <c r="M15">
        <v>354</v>
      </c>
      <c r="O15">
        <f t="shared" si="4"/>
        <v>18.414642318646337</v>
      </c>
      <c r="P15">
        <f t="shared" si="7"/>
        <v>19.230856083059557</v>
      </c>
    </row>
    <row r="16" spans="1:16" x14ac:dyDescent="0.3">
      <c r="A16">
        <v>250</v>
      </c>
      <c r="B16">
        <v>4.1580000000000004</v>
      </c>
      <c r="G16">
        <v>320</v>
      </c>
      <c r="H16">
        <v>8.2089999999999996</v>
      </c>
      <c r="I16">
        <f t="shared" si="8"/>
        <v>8.5165432554410732</v>
      </c>
      <c r="L16">
        <f t="shared" si="6"/>
        <v>18.62855609232421</v>
      </c>
      <c r="M16">
        <v>355</v>
      </c>
      <c r="O16">
        <f t="shared" si="4"/>
        <v>19.05676415502089</v>
      </c>
      <c r="P16">
        <f t="shared" si="7"/>
        <v>19.915853576705608</v>
      </c>
    </row>
    <row r="17" spans="1:16" x14ac:dyDescent="0.3">
      <c r="A17">
        <v>260</v>
      </c>
      <c r="B17">
        <v>4.4669999999999996</v>
      </c>
      <c r="G17">
        <v>330</v>
      </c>
      <c r="H17">
        <v>9.8789999999999996</v>
      </c>
      <c r="I17">
        <f t="shared" si="8"/>
        <v>10.074530813026938</v>
      </c>
      <c r="L17">
        <f t="shared" si="6"/>
        <v>18.033279656468064</v>
      </c>
      <c r="M17">
        <v>356</v>
      </c>
      <c r="O17">
        <f t="shared" si="4"/>
        <v>19.741278723657576</v>
      </c>
      <c r="P17">
        <f t="shared" si="7"/>
        <v>20.625250481603796</v>
      </c>
    </row>
    <row r="18" spans="1:16" x14ac:dyDescent="0.3">
      <c r="A18">
        <v>270</v>
      </c>
      <c r="B18">
        <v>4.8099999999999996</v>
      </c>
      <c r="G18">
        <v>340</v>
      </c>
      <c r="H18">
        <v>12.35</v>
      </c>
      <c r="I18">
        <f>0.0394*EXP(0.0168*G18)</f>
        <v>11.917531333829022</v>
      </c>
      <c r="L18">
        <f t="shared" si="6"/>
        <v>17.438003220611918</v>
      </c>
      <c r="M18">
        <v>357</v>
      </c>
      <c r="O18">
        <f t="shared" si="4"/>
        <v>20.472527472527471</v>
      </c>
      <c r="P18">
        <f t="shared" si="7"/>
        <v>21.359915897677816</v>
      </c>
    </row>
    <row r="19" spans="1:16" x14ac:dyDescent="0.3">
      <c r="A19">
        <v>280</v>
      </c>
      <c r="B19">
        <v>5.23</v>
      </c>
      <c r="L19">
        <f t="shared" si="6"/>
        <v>16.842726784755772</v>
      </c>
      <c r="M19">
        <v>358</v>
      </c>
      <c r="O19">
        <f t="shared" si="4"/>
        <v>21.255465612849765</v>
      </c>
      <c r="P19">
        <f t="shared" si="7"/>
        <v>22.120749881937549</v>
      </c>
    </row>
    <row r="20" spans="1:16" x14ac:dyDescent="0.3">
      <c r="A20">
        <v>290</v>
      </c>
      <c r="B20">
        <v>5.6909999999999998</v>
      </c>
      <c r="L20">
        <f t="shared" si="6"/>
        <v>16.247450348899626</v>
      </c>
      <c r="M20">
        <v>359</v>
      </c>
      <c r="O20">
        <f t="shared" si="4"/>
        <v>22.095774554825066</v>
      </c>
      <c r="P20">
        <f t="shared" si="7"/>
        <v>22.908684551161468</v>
      </c>
    </row>
    <row r="21" spans="1:16" x14ac:dyDescent="0.3">
      <c r="A21">
        <v>300</v>
      </c>
      <c r="B21">
        <v>6.2809999999999997</v>
      </c>
      <c r="G21">
        <v>350</v>
      </c>
      <c r="H21">
        <v>16.2</v>
      </c>
      <c r="L21">
        <f>M21/N21</f>
        <v>15.652173913043478</v>
      </c>
      <c r="M21">
        <v>360</v>
      </c>
      <c r="N21">
        <v>23</v>
      </c>
      <c r="O21">
        <f t="shared" si="4"/>
        <v>23</v>
      </c>
      <c r="P21">
        <f t="shared" si="7"/>
        <v>23.724685223856266</v>
      </c>
    </row>
    <row r="22" spans="1:16" x14ac:dyDescent="0.3">
      <c r="A22">
        <v>310</v>
      </c>
      <c r="B22">
        <v>7.12</v>
      </c>
      <c r="G22">
        <v>351</v>
      </c>
      <c r="H22">
        <v>16.706599218211082</v>
      </c>
    </row>
    <row r="23" spans="1:16" x14ac:dyDescent="0.3">
      <c r="A23">
        <v>320</v>
      </c>
      <c r="B23">
        <v>8.2089999999999996</v>
      </c>
      <c r="G23">
        <v>352</v>
      </c>
      <c r="H23">
        <v>17.242742953302482</v>
      </c>
    </row>
    <row r="24" spans="1:16" x14ac:dyDescent="0.3">
      <c r="A24">
        <v>330</v>
      </c>
      <c r="B24">
        <v>9.8789999999999996</v>
      </c>
      <c r="G24">
        <v>353</v>
      </c>
      <c r="H24">
        <v>17.811093356444491</v>
      </c>
    </row>
    <row r="25" spans="1:16" x14ac:dyDescent="0.3">
      <c r="A25">
        <v>340</v>
      </c>
      <c r="B25">
        <v>12.35</v>
      </c>
      <c r="G25">
        <v>354</v>
      </c>
      <c r="H25">
        <v>18.414642318646337</v>
      </c>
    </row>
    <row r="26" spans="1:16" x14ac:dyDescent="0.3">
      <c r="A26">
        <v>350</v>
      </c>
      <c r="B26">
        <v>16.2</v>
      </c>
      <c r="G26">
        <v>355</v>
      </c>
      <c r="H26">
        <v>19.05676415502089</v>
      </c>
    </row>
    <row r="27" spans="1:16" x14ac:dyDescent="0.3">
      <c r="A27">
        <v>360</v>
      </c>
      <c r="B27">
        <v>23</v>
      </c>
      <c r="G27">
        <v>356</v>
      </c>
      <c r="H27">
        <v>19.741278723657576</v>
      </c>
    </row>
    <row r="28" spans="1:16" x14ac:dyDescent="0.3">
      <c r="A28">
        <v>370</v>
      </c>
      <c r="B28">
        <v>56.51</v>
      </c>
      <c r="G28">
        <v>357</v>
      </c>
      <c r="H28">
        <v>20.472527472527471</v>
      </c>
    </row>
    <row r="29" spans="1:16" x14ac:dyDescent="0.3">
      <c r="G29">
        <v>358</v>
      </c>
      <c r="H29">
        <v>21.255465612849765</v>
      </c>
    </row>
    <row r="30" spans="1:16" x14ac:dyDescent="0.3">
      <c r="G30">
        <v>359</v>
      </c>
      <c r="H30">
        <v>22.095774554825066</v>
      </c>
    </row>
    <row r="31" spans="1:16" x14ac:dyDescent="0.3">
      <c r="G31">
        <v>360</v>
      </c>
      <c r="H31">
        <v>23</v>
      </c>
    </row>
    <row r="64" spans="8:11" x14ac:dyDescent="0.3">
      <c r="H64" t="s">
        <v>82</v>
      </c>
      <c r="I64" t="s">
        <v>5</v>
      </c>
      <c r="J64" t="s">
        <v>4</v>
      </c>
      <c r="K64" t="s">
        <v>84</v>
      </c>
    </row>
    <row r="65" spans="7:11" x14ac:dyDescent="0.3">
      <c r="G65">
        <v>0</v>
      </c>
      <c r="H65">
        <v>1.3180000000000001</v>
      </c>
      <c r="I65">
        <v>1.359</v>
      </c>
      <c r="J65">
        <f>1.3107*EXP(9*10^(-5)*G65)</f>
        <v>1.3107</v>
      </c>
      <c r="K65">
        <f>0.0001*G65 + 1.359</f>
        <v>1.359</v>
      </c>
    </row>
    <row r="66" spans="7:11" x14ac:dyDescent="0.3">
      <c r="G66">
        <v>100</v>
      </c>
      <c r="H66">
        <v>1.3240000000000001</v>
      </c>
      <c r="I66">
        <v>1.37</v>
      </c>
      <c r="J66">
        <f t="shared" ref="J66:J79" si="9">1.3107*EXP(9*10^(-5)*G66)</f>
        <v>1.3225495429590086</v>
      </c>
      <c r="K66">
        <f t="shared" ref="K66:K79" si="10">0.0001*G66 + 1.359</f>
        <v>1.369</v>
      </c>
    </row>
    <row r="67" spans="7:11" x14ac:dyDescent="0.3">
      <c r="G67">
        <v>200</v>
      </c>
      <c r="H67">
        <v>1.3320000000000001</v>
      </c>
      <c r="I67">
        <v>1.381</v>
      </c>
      <c r="J67">
        <f t="shared" si="9"/>
        <v>1.3345062131541026</v>
      </c>
      <c r="K67">
        <f t="shared" si="10"/>
        <v>1.379</v>
      </c>
    </row>
    <row r="68" spans="7:11" x14ac:dyDescent="0.3">
      <c r="G68">
        <v>300</v>
      </c>
      <c r="H68">
        <v>1.3420000000000001</v>
      </c>
      <c r="I68">
        <v>1.397</v>
      </c>
      <c r="J68">
        <f t="shared" si="9"/>
        <v>1.3465709790821054</v>
      </c>
      <c r="K68">
        <f t="shared" si="10"/>
        <v>1.389</v>
      </c>
    </row>
    <row r="69" spans="7:11" x14ac:dyDescent="0.3">
      <c r="G69">
        <v>400</v>
      </c>
      <c r="H69">
        <v>1.3540000000000001</v>
      </c>
      <c r="I69">
        <v>1.415</v>
      </c>
      <c r="J69">
        <f t="shared" si="9"/>
        <v>1.3587448179956536</v>
      </c>
      <c r="K69">
        <f t="shared" si="10"/>
        <v>1.399</v>
      </c>
    </row>
    <row r="70" spans="7:11" x14ac:dyDescent="0.3">
      <c r="G70">
        <v>500</v>
      </c>
      <c r="H70">
        <v>1.3660000000000001</v>
      </c>
      <c r="I70">
        <v>1.431</v>
      </c>
      <c r="J70">
        <f t="shared" si="9"/>
        <v>1.3710287159823553</v>
      </c>
      <c r="K70">
        <f t="shared" si="10"/>
        <v>1.409</v>
      </c>
    </row>
    <row r="71" spans="7:11" x14ac:dyDescent="0.3">
      <c r="G71">
        <v>600</v>
      </c>
      <c r="H71">
        <v>1.3819999999999999</v>
      </c>
      <c r="I71">
        <v>1.448</v>
      </c>
      <c r="J71">
        <f t="shared" si="9"/>
        <v>1.3834236680446634</v>
      </c>
      <c r="K71">
        <f t="shared" si="10"/>
        <v>1.419</v>
      </c>
    </row>
    <row r="72" spans="7:11" x14ac:dyDescent="0.3">
      <c r="G72">
        <v>700</v>
      </c>
      <c r="H72">
        <v>1.3959999999999999</v>
      </c>
      <c r="I72">
        <v>1.46</v>
      </c>
      <c r="J72">
        <f t="shared" si="9"/>
        <v>1.3959306781804719</v>
      </c>
      <c r="K72">
        <f t="shared" si="10"/>
        <v>1.429</v>
      </c>
    </row>
    <row r="73" spans="7:11" x14ac:dyDescent="0.3">
      <c r="G73">
        <v>800</v>
      </c>
      <c r="H73">
        <v>1.41</v>
      </c>
      <c r="I73">
        <v>1.472</v>
      </c>
      <c r="J73">
        <f t="shared" si="9"/>
        <v>1.4085507594644404</v>
      </c>
      <c r="K73">
        <f t="shared" si="10"/>
        <v>1.4390000000000001</v>
      </c>
    </row>
    <row r="74" spans="7:11" x14ac:dyDescent="0.3">
      <c r="G74">
        <v>900</v>
      </c>
      <c r="H74">
        <v>1.4239999999999999</v>
      </c>
      <c r="I74">
        <v>1.4850000000000001</v>
      </c>
      <c r="J74">
        <f t="shared" si="9"/>
        <v>1.4212849341300529</v>
      </c>
      <c r="K74">
        <f t="shared" si="10"/>
        <v>1.4490000000000001</v>
      </c>
    </row>
    <row r="75" spans="7:11" x14ac:dyDescent="0.3">
      <c r="G75">
        <v>1000</v>
      </c>
      <c r="H75">
        <v>1.4370000000000001</v>
      </c>
      <c r="I75">
        <v>1.498</v>
      </c>
      <c r="J75">
        <f t="shared" si="9"/>
        <v>1.4341342336524192</v>
      </c>
      <c r="K75">
        <f t="shared" si="10"/>
        <v>1.4590000000000001</v>
      </c>
    </row>
    <row r="76" spans="7:11" x14ac:dyDescent="0.3">
      <c r="G76">
        <v>1100</v>
      </c>
      <c r="H76">
        <v>1.4490000000000001</v>
      </c>
      <c r="I76">
        <v>1.5109999999999999</v>
      </c>
      <c r="J76">
        <f t="shared" si="9"/>
        <v>1.4470996988318265</v>
      </c>
      <c r="K76">
        <f t="shared" si="10"/>
        <v>1.4690000000000001</v>
      </c>
    </row>
    <row r="77" spans="7:11" x14ac:dyDescent="0.3">
      <c r="G77">
        <v>1200</v>
      </c>
      <c r="H77">
        <v>1.46</v>
      </c>
      <c r="I77">
        <v>1.5229999999999999</v>
      </c>
      <c r="J77">
        <f t="shared" si="9"/>
        <v>1.4601823798780431</v>
      </c>
      <c r="K77">
        <f t="shared" si="10"/>
        <v>1.4790000000000001</v>
      </c>
    </row>
    <row r="78" spans="7:11" x14ac:dyDescent="0.3">
      <c r="G78">
        <v>1300</v>
      </c>
      <c r="H78">
        <v>1.472</v>
      </c>
      <c r="I78">
        <v>1.5349999999999999</v>
      </c>
      <c r="J78">
        <f t="shared" si="9"/>
        <v>1.4733833364953866</v>
      </c>
      <c r="K78">
        <f t="shared" si="10"/>
        <v>1.4889999999999999</v>
      </c>
    </row>
    <row r="79" spans="7:11" x14ac:dyDescent="0.3">
      <c r="G79">
        <v>1400</v>
      </c>
      <c r="H79">
        <v>1.4830000000000001</v>
      </c>
      <c r="I79">
        <v>1.548</v>
      </c>
      <c r="J79">
        <f t="shared" si="9"/>
        <v>1.486703637968561</v>
      </c>
      <c r="K79">
        <f t="shared" si="10"/>
        <v>1.4990000000000001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Расчёт</vt:lpstr>
      <vt:lpstr>Мазут</vt:lpstr>
      <vt:lpstr>Пар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Grisha</cp:lastModifiedBy>
  <dcterms:created xsi:type="dcterms:W3CDTF">2013-10-15T04:44:03Z</dcterms:created>
  <dcterms:modified xsi:type="dcterms:W3CDTF">2022-10-12T20:02:54Z</dcterms:modified>
</cp:coreProperties>
</file>